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_Lines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Parser_Contrac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2" customWidth="1" min="3" max="3"/>
    <col width="15" customWidth="1" min="4" max="4"/>
    <col width="20" customWidth="1" min="5" max="5"/>
    <col width="25" customWidth="1" min="6" max="6"/>
  </cols>
  <sheetData>
    <row r="1">
      <c r="A1" s="1" t="inlineStr">
        <is>
          <t>Line_ID</t>
        </is>
      </c>
      <c r="B1" s="1" t="inlineStr">
        <is>
          <t>CSI_Div_Code</t>
        </is>
      </c>
      <c r="C1" s="1" t="inlineStr">
        <is>
          <t>Trade</t>
        </is>
      </c>
      <c r="D1" s="1" t="inlineStr">
        <is>
          <t>Budget_Amount</t>
        </is>
      </c>
      <c r="E1" s="1" t="inlineStr">
        <is>
          <t>Line_Markup_Factor</t>
        </is>
      </c>
      <c r="F1" s="1" t="inlineStr">
        <is>
          <t>Client_Price_Pre_Global</t>
        </is>
      </c>
    </row>
    <row r="2">
      <c r="A2" t="inlineStr">
        <is>
          <t>BUD-001</t>
        </is>
      </c>
      <c r="B2" t="inlineStr">
        <is>
          <t>01</t>
        </is>
      </c>
      <c r="C2" t="inlineStr">
        <is>
          <t>General Requirements</t>
        </is>
      </c>
      <c r="D2" t="n">
        <v>9000</v>
      </c>
      <c r="E2" t="n">
        <v>1</v>
      </c>
      <c r="F2" t="n">
        <v>9000</v>
      </c>
    </row>
    <row r="3">
      <c r="A3" t="inlineStr">
        <is>
          <t>BUD-002</t>
        </is>
      </c>
      <c r="B3" t="inlineStr">
        <is>
          <t>02</t>
        </is>
      </c>
      <c r="C3" t="inlineStr">
        <is>
          <t>Demolition</t>
        </is>
      </c>
      <c r="D3" t="n">
        <v>4800</v>
      </c>
      <c r="E3" t="n">
        <v>1</v>
      </c>
      <c r="F3" t="n">
        <v>4800</v>
      </c>
    </row>
    <row r="4">
      <c r="A4" t="inlineStr">
        <is>
          <t>BUD-003</t>
        </is>
      </c>
      <c r="B4" t="inlineStr">
        <is>
          <t>03</t>
        </is>
      </c>
      <c r="C4" t="inlineStr">
        <is>
          <t>Concrete</t>
        </is>
      </c>
      <c r="D4" t="n">
        <v>1800</v>
      </c>
      <c r="E4" t="n">
        <v>1</v>
      </c>
      <c r="F4" t="n">
        <v>1800</v>
      </c>
    </row>
    <row r="5">
      <c r="A5" t="inlineStr">
        <is>
          <t>BUD-004</t>
        </is>
      </c>
      <c r="B5" t="inlineStr">
        <is>
          <t>05</t>
        </is>
      </c>
      <c r="C5" t="inlineStr">
        <is>
          <t>Structural</t>
        </is>
      </c>
      <c r="D5" t="n">
        <v>3200</v>
      </c>
      <c r="E5" t="n">
        <v>1</v>
      </c>
      <c r="F5" t="n">
        <v>3200</v>
      </c>
    </row>
    <row r="6">
      <c r="A6" t="inlineStr">
        <is>
          <t>BUD-005</t>
        </is>
      </c>
      <c r="B6" t="inlineStr">
        <is>
          <t>06</t>
        </is>
      </c>
      <c r="C6" t="inlineStr">
        <is>
          <t>Carpentry</t>
        </is>
      </c>
      <c r="D6" t="n">
        <v>7800</v>
      </c>
      <c r="E6" t="n">
        <v>1.05</v>
      </c>
      <c r="F6" t="n">
        <v>8190</v>
      </c>
    </row>
    <row r="7">
      <c r="A7" t="inlineStr">
        <is>
          <t>BUD-006</t>
        </is>
      </c>
      <c r="B7" t="inlineStr">
        <is>
          <t>07</t>
        </is>
      </c>
      <c r="C7" t="inlineStr">
        <is>
          <t>Roofing</t>
        </is>
      </c>
      <c r="D7" t="n">
        <v>9300</v>
      </c>
      <c r="E7" t="n">
        <v>1</v>
      </c>
      <c r="F7" t="n">
        <v>9300</v>
      </c>
    </row>
    <row r="8">
      <c r="A8" t="inlineStr">
        <is>
          <t>BUD-007</t>
        </is>
      </c>
      <c r="B8" t="inlineStr">
        <is>
          <t>08</t>
        </is>
      </c>
      <c r="C8" t="inlineStr">
        <is>
          <t>DoorsWindows</t>
        </is>
      </c>
      <c r="D8" t="n">
        <v>5800</v>
      </c>
      <c r="E8" t="n">
        <v>1</v>
      </c>
      <c r="F8" t="n">
        <v>5800</v>
      </c>
    </row>
    <row r="9">
      <c r="A9" t="inlineStr">
        <is>
          <t>BUD-008</t>
        </is>
      </c>
      <c r="B9" t="inlineStr">
        <is>
          <t>09</t>
        </is>
      </c>
      <c r="C9" t="inlineStr">
        <is>
          <t>Finishes</t>
        </is>
      </c>
      <c r="D9" t="n">
        <v>21500</v>
      </c>
      <c r="E9" t="n">
        <v>1.1</v>
      </c>
      <c r="F9" t="n">
        <v>23650</v>
      </c>
    </row>
    <row r="10">
      <c r="A10" t="inlineStr">
        <is>
          <t>BUD-009</t>
        </is>
      </c>
      <c r="B10" t="inlineStr">
        <is>
          <t>1012</t>
        </is>
      </c>
      <c r="C10" t="inlineStr">
        <is>
          <t>Fixtures</t>
        </is>
      </c>
      <c r="D10" t="n">
        <v>8800</v>
      </c>
      <c r="E10" t="n">
        <v>1</v>
      </c>
      <c r="F10" t="n">
        <v>8800</v>
      </c>
    </row>
    <row r="11">
      <c r="A11" t="inlineStr">
        <is>
          <t>BUD-010</t>
        </is>
      </c>
      <c r="B11" t="inlineStr">
        <is>
          <t>22</t>
        </is>
      </c>
      <c r="C11" t="inlineStr">
        <is>
          <t>Plumbing</t>
        </is>
      </c>
      <c r="D11" t="n">
        <v>6800</v>
      </c>
      <c r="E11" t="n">
        <v>1</v>
      </c>
      <c r="F11" t="n">
        <v>6800</v>
      </c>
    </row>
    <row r="12">
      <c r="A12" t="inlineStr">
        <is>
          <t>BUD-011</t>
        </is>
      </c>
      <c r="B12" t="inlineStr">
        <is>
          <t>23</t>
        </is>
      </c>
      <c r="C12" t="inlineStr">
        <is>
          <t>HVAC</t>
        </is>
      </c>
      <c r="D12" t="n">
        <v>4200</v>
      </c>
      <c r="E12" t="n">
        <v>1</v>
      </c>
      <c r="F12" t="n">
        <v>4200</v>
      </c>
    </row>
    <row r="13">
      <c r="A13" t="inlineStr">
        <is>
          <t>BUD-012</t>
        </is>
      </c>
      <c r="B13" t="inlineStr">
        <is>
          <t>26</t>
        </is>
      </c>
      <c r="C13" t="inlineStr">
        <is>
          <t>Electrical</t>
        </is>
      </c>
      <c r="D13" t="n">
        <v>7700</v>
      </c>
      <c r="E13" t="n">
        <v>1</v>
      </c>
      <c r="F13" t="n">
        <v>7700</v>
      </c>
    </row>
    <row r="14">
      <c r="A14" s="2" t="inlineStr">
        <is>
          <t>TOTAL</t>
        </is>
      </c>
      <c r="B14" s="3" t="n"/>
      <c r="C14" s="3" t="n"/>
      <c r="D14" s="2" t="n">
        <v>90700</v>
      </c>
      <c r="E14" s="3" t="n"/>
      <c r="F14" s="2" t="n">
        <v>93240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Budget Snapshot — 2026001 Rockland</t>
        </is>
      </c>
    </row>
    <row r="3">
      <c r="A3" s="5" t="inlineStr">
        <is>
          <t>Client_Price_Pre_Global</t>
        </is>
      </c>
      <c r="B3">
        <f> Budget_Amount x Line_Markup_Factor (per-line inflation only).</f>
        <v/>
      </c>
    </row>
    <row r="4">
      <c r="A4" s="5" t="inlineStr">
        <is>
          <t>Final Client Price</t>
        </is>
      </c>
      <c r="B4">
        <f> SUM(Client_Price_Pre_Global) x 1.15 (global 15% markup applied at subtotal).</f>
        <v/>
      </c>
    </row>
    <row r="5">
      <c r="A5" s="5" t="inlineStr">
        <is>
          <t>Rule</t>
        </is>
      </c>
      <c r="B5" t="inlineStr">
        <is>
          <t>This snapshot is frozen. Do not edit after owner approval. Create v2 for revisions.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16" customWidth="1" min="3" max="3"/>
    <col width="13" customWidth="1" min="4" max="4"/>
    <col width="45" customWidth="1" min="5" max="5"/>
  </cols>
  <sheetData>
    <row r="1">
      <c r="A1" s="6" t="inlineStr">
        <is>
          <t>Sheet_Name</t>
        </is>
      </c>
      <c r="B1" s="6" t="inlineStr">
        <is>
          <t>Ingest</t>
        </is>
      </c>
      <c r="C1" s="6" t="inlineStr">
        <is>
          <t>Table_Name</t>
        </is>
      </c>
      <c r="D1" s="6" t="inlineStr">
        <is>
          <t>Primary_Key</t>
        </is>
      </c>
      <c r="E1" s="6" t="inlineStr">
        <is>
          <t>Notes</t>
        </is>
      </c>
    </row>
    <row r="2">
      <c r="A2" t="inlineStr">
        <is>
          <t>README</t>
        </is>
      </c>
      <c r="B2" t="inlineStr">
        <is>
          <t>N</t>
        </is>
      </c>
      <c r="C2" t="inlineStr">
        <is>
          <t>—</t>
        </is>
      </c>
      <c r="D2" t="inlineStr">
        <is>
          <t>—</t>
        </is>
      </c>
      <c r="E2" t="inlineStr">
        <is>
          <t>Human instructions — do not ingest</t>
        </is>
      </c>
    </row>
    <row r="3">
      <c r="A3" t="inlineStr">
        <is>
          <t>Budget_Lines</t>
        </is>
      </c>
      <c r="B3" t="inlineStr">
        <is>
          <t>Y</t>
        </is>
      </c>
      <c r="C3" t="inlineStr">
        <is>
          <t>tblBudgetLines</t>
        </is>
      </c>
      <c r="D3" t="inlineStr">
        <is>
          <t>Line_ID</t>
        </is>
      </c>
      <c r="E3" t="inlineStr">
        <is>
          <t>Frozen per-trade budget. Client_Price_Pre_Global = Budget_Amount x Line_Markup_Factor. Global 15% applied at report level to get final client price.</t>
        </is>
      </c>
    </row>
    <row r="4">
      <c r="A4" t="inlineStr">
        <is>
          <t>Parser_Contract</t>
        </is>
      </c>
      <c r="B4" t="inlineStr">
        <is>
          <t>N</t>
        </is>
      </c>
      <c r="C4" t="inlineStr">
        <is>
          <t>—</t>
        </is>
      </c>
      <c r="D4" t="inlineStr">
        <is>
          <t>—</t>
        </is>
      </c>
      <c r="E4" t="inlineStr">
        <is>
          <t>Parser instructions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2026-06-30T19:00:26Z</dcterms:created>
  <dcterms:modified xmlns:dcterms="http://purl.org/dc/terms/" xmlns:xsi="http://www.w3.org/2001/XMLSchema-instance" xsi:type="dcterms:W3CDTF">2026-06-30T19:00:26Z</dcterms:modified>
</cp:coreProperties>
</file>